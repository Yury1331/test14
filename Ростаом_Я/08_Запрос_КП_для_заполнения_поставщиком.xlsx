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Условия запроса" sheetId="1" state="visible" r:id="rId1"/>
    <sheet name="А. Оборудование" sheetId="2" state="visible" r:id="rId2"/>
    <sheet name="Б. Материалы трасс" sheetId="3" state="visible" r:id="rId3"/>
    <sheet name="В. Работы" sheetId="4" state="visible" r:id="rId4"/>
    <sheet name="Г. Итог КП" sheetId="5" state="visible" r:id="rId5"/>
  </sheets>
  <definedNames>
    <definedName name="_xlnm.Print_Titles" localSheetId="0">'0. Условия запроса'!$1:$2</definedName>
    <definedName name="_xlnm._FilterDatabase" localSheetId="1" hidden="1">'А. Оборудование'!$A$1:$M$27</definedName>
    <definedName name="_xlnm.Print_Titles" localSheetId="1">'А. Оборудование'!$1:$1</definedName>
    <definedName name="_xlnm.Print_Titles" localSheetId="2">'Б. Материалы трасс'!$1:$1</definedName>
    <definedName name="_xlnm.Print_Titles" localSheetId="3">'В. Работы'!$1:$1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b val="1"/>
    </font>
    <font>
      <name val="Calibri"/>
      <sz val="10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2" borderId="0" pivotButton="0" quotePrefix="0" xfId="0"/>
    <xf numFmtId="0" fontId="0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4" fontId="5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2" borderId="1" pivotButton="0" quotePrefix="0" xfId="0"/>
    <xf numFmtId="4" fontId="7" fillId="2" borderId="1" pivotButton="0" quotePrefix="0" xfId="0"/>
    <xf numFmtId="0" fontId="0" fillId="0" borderId="0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4" fontId="0" fillId="7" borderId="1" applyAlignment="1" pivotButton="0" quotePrefix="0" xfId="0">
      <alignment vertical="center" wrapText="1"/>
    </xf>
    <xf numFmtId="0" fontId="6" fillId="0" borderId="1" pivotButton="0" quotePrefix="0" xfId="0"/>
    <xf numFmtId="4" fontId="0" fillId="5" borderId="1" applyAlignment="1" pivotButton="0" quotePrefix="0" xfId="0">
      <alignment vertical="center" wrapText="1"/>
    </xf>
    <xf numFmtId="4" fontId="7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 ht="24" customHeight="1">
      <c r="A1" s="1" t="inlineStr">
        <is>
          <t>ЗАПРОС КОММЕРЧЕСКОГО ПРЕДЛОЖЕНИЯ</t>
        </is>
      </c>
    </row>
    <row r="2">
      <c r="A2" s="2" t="inlineStr">
        <is>
          <t>СКУД и СВН «под ключ» — АО «Росатом Возобновляемая энергия», ОП Вербное</t>
        </is>
      </c>
    </row>
    <row r="4">
      <c r="A4" s="3" t="inlineStr">
        <is>
          <t>Реквизит</t>
        </is>
      </c>
      <c r="B4" s="3" t="inlineStr">
        <is>
          <t>Значение</t>
        </is>
      </c>
    </row>
    <row r="5" ht="32" customHeight="1">
      <c r="A5" s="4" t="inlineStr">
        <is>
          <t>Заказчик конечный</t>
        </is>
      </c>
      <c r="B5" s="5" t="inlineStr">
        <is>
          <t>АО «Росатом Возобновляемая энергия»</t>
        </is>
      </c>
    </row>
    <row r="6" ht="32" customHeight="1">
      <c r="A6" s="4" t="inlineStr">
        <is>
          <t>Объект</t>
        </is>
      </c>
      <c r="B6" s="5" t="inlineStr">
        <is>
          <t>ОП Вербное, 347210, Ростовская обл., Морозовский район, г. Морозовск, ул. Ленина, д. 159</t>
        </is>
      </c>
    </row>
    <row r="7" ht="32" customHeight="1">
      <c r="A7" s="4" t="inlineStr">
        <is>
          <t>Предмет</t>
        </is>
      </c>
      <c r="B7" s="5" t="inlineStr">
        <is>
          <t>Монтажные и пусконаладочные работы по оснащению офисных помещений СКУД и СВН</t>
        </is>
      </c>
    </row>
    <row r="8" ht="32" customHeight="1">
      <c r="A8" s="4" t="inlineStr">
        <is>
          <t>ОКПД2</t>
        </is>
      </c>
      <c r="B8" s="5" t="inlineStr">
        <is>
          <t>33.20.42.000</t>
        </is>
      </c>
    </row>
    <row r="9" ht="32" customHeight="1">
      <c r="A9" s="4" t="inlineStr">
        <is>
          <t>Формат</t>
        </is>
      </c>
      <c r="B9" s="5" t="inlineStr">
        <is>
          <t>«под ключ», полным иждивением подрядчика</t>
        </is>
      </c>
    </row>
    <row r="10" ht="32" customHeight="1">
      <c r="A10" s="4" t="inlineStr">
        <is>
          <t>Срок работ</t>
        </is>
      </c>
      <c r="B10" s="5" t="inlineStr">
        <is>
          <t>25 рабочих дней с даты договора (поставка + монтаж + ПНР + инструктаж 2 сотрудников)</t>
        </is>
      </c>
    </row>
    <row r="11" ht="32" customHeight="1">
      <c r="A11" s="4" t="inlineStr">
        <is>
          <t>Режим на объекте</t>
        </is>
      </c>
      <c r="B11" s="5" t="inlineStr">
        <is>
          <t>пн–пт 08:00–17:00, без остановки процесса заказчика</t>
        </is>
      </c>
    </row>
    <row r="12" ht="32" customHeight="1">
      <c r="A12" s="4" t="inlineStr">
        <is>
          <t>Гарантия</t>
        </is>
      </c>
      <c r="B12" s="5" t="inlineStr">
        <is>
          <t>не менее 12 месяцев с акта сдачи-приёмки, на работы и оборудование</t>
        </is>
      </c>
    </row>
    <row r="13" ht="32" customHeight="1">
      <c r="A13" s="4" t="inlineStr">
        <is>
          <t>Пожарная интеграция</t>
        </is>
      </c>
      <c r="B13" s="5" t="inlineStr">
        <is>
          <t>Разблокировка турникета от сигнала ПС «Гранит-24»</t>
        </is>
      </c>
    </row>
    <row r="14" ht="32" customHeight="1">
      <c r="A14" s="4" t="inlineStr">
        <is>
          <t>Структура КП</t>
        </is>
      </c>
      <c r="B14" s="5" t="inlineStr">
        <is>
          <t>Три блока: А оборудование, Б материалы трасс, В работы. Цены с НДС. Срок поставки каждой строки.</t>
        </is>
      </c>
    </row>
    <row r="15" ht="32" customHeight="1">
      <c r="A15" s="4" t="inlineStr">
        <is>
          <t>Срок действия КП</t>
        </is>
      </c>
      <c r="B15" s="5" t="inlineStr">
        <is>
          <t>не менее 14 календарных дней</t>
        </is>
      </c>
    </row>
    <row r="16" ht="32" customHeight="1">
      <c r="A16" s="4" t="inlineStr">
        <is>
          <t>Шапка КП</t>
        </is>
      </c>
      <c r="B16" s="5" t="inlineStr">
        <is>
          <t>Указывать этого заказчика и этот объект. Не ПАО «МТС».</t>
        </is>
      </c>
    </row>
    <row r="18">
      <c r="A18" s="2" t="inlineStr">
        <is>
          <t>Правила для поставщика</t>
        </is>
      </c>
    </row>
    <row r="19" ht="36" customHeight="1">
      <c r="A19" s="6" t="inlineStr">
        <is>
          <t>1. Количество — строго по листам «А. Оборудование», «Б. Материалы», «В. Работы». Не суммировать «основу» и «альтернативу» в одну цифру.</t>
        </is>
      </c>
    </row>
    <row r="20" ht="36" customHeight="1">
      <c r="A20" s="6" t="inlineStr">
        <is>
          <t>2. Аналог допускается, если паспортные ТТХ не хуже приложения № 1 ТЗ. К аналогу — паспорт с выделенными строками.</t>
        </is>
      </c>
    </row>
    <row r="21" ht="36" customHeight="1">
      <c r="A21" s="6" t="inlineStr">
        <is>
          <t>3. Если позиция под заказ дольше 25 р.д. — сразу складской аналог с ТТХ не хуже, а не дата в комментарии при обещании срока ТЗ.</t>
        </is>
      </c>
    </row>
    <row r="22" ht="36" customHeight="1">
      <c r="A22" s="6" t="inlineStr">
        <is>
          <t>4. Не включать upsell: второй коммутатор, ИБП 850 ВА, УЗИП, ББП-20, бухта «на всякий случай», если это не строка сметы трасс.</t>
        </is>
      </c>
    </row>
    <row r="23" ht="36" customHeight="1">
      <c r="A23" s="6" t="inlineStr">
        <is>
          <t>5. ПО TRASSIR СКУД по ТЗ входит в состав регистратора. Если лицензия отдельным артикулом — одна строка, без задвоения.</t>
        </is>
      </c>
    </row>
    <row r="24" ht="36" customHeight="1">
      <c r="A24" s="6" t="inlineStr">
        <is>
          <t>6. Старое КП ДП-00079850 от 14.08.2026 к этому ТЗ не применяется (другой получатель, дубли, неэквивалент турникетов/TR-R5M, нет монитора и роутера, нет СМР).</t>
        </is>
      </c>
    </row>
    <row r="26">
      <c r="A26" s="2" t="inlineStr">
        <is>
          <t>Не предлагать (проверено по ДП-00079850)</t>
        </is>
      </c>
    </row>
    <row r="27">
      <c r="A27" s="7" t="inlineStr">
        <is>
          <t>Позиция</t>
        </is>
      </c>
      <c r="B27" s="7" t="inlineStr">
        <is>
          <t>Почему нельзя</t>
        </is>
      </c>
    </row>
    <row r="28" ht="36" customHeight="1">
      <c r="A28" s="8" t="inlineStr">
        <is>
          <t>TR-R5M</t>
        </is>
      </c>
      <c r="B28" s="8" t="inlineStr">
        <is>
          <t>Нет OSDP и RS-485. Не ставить второй парой к DS-K1107AM.</t>
        </is>
      </c>
    </row>
    <row r="29" ht="36" customHeight="1">
      <c r="A29" s="8" t="inlineStr">
        <is>
          <t>TR-TT552 / TR-TP551</t>
        </is>
      </c>
      <c r="B29" s="8" t="inlineStr">
        <is>
          <t>Проход 500/505 мм, 30 чел/мин, 1 млн циклов, верх t° +60. ТЗ: ≥550 мм, ≥35 чел/мин, ≥3 млн, −20…+65.</t>
        </is>
      </c>
    </row>
    <row r="30" ht="36" customHeight="1">
      <c r="A30" s="8" t="inlineStr">
        <is>
          <t>Два турникета или 4 считывателя в одной сумме</t>
        </is>
      </c>
      <c r="B30" s="8" t="inlineStr">
        <is>
          <t>ТЗ: 1 турникет, 2 считывателя.</t>
        </is>
      </c>
    </row>
    <row r="31" ht="36" customHeight="1">
      <c r="A31" s="8" t="inlineStr">
        <is>
          <t>ИБП «1800 Вт»</t>
        </is>
      </c>
      <c r="B31" s="8" t="inlineStr">
        <is>
          <t>ТЗ и паспорт KIN-3000AP LCD арт. 1152615: 3000 ВА / 2400 Вт.</t>
        </is>
      </c>
    </row>
    <row r="32" ht="36" customHeight="1">
      <c r="A32" s="8" t="inlineStr">
        <is>
          <t>HDMI Rexant с приходом 06.10</t>
        </is>
      </c>
      <c r="B32" s="8" t="inlineStr">
        <is>
          <t>Взять любую складскую HDMI ≥ 5 м.</t>
        </is>
      </c>
    </row>
    <row r="33" ht="36" customHeight="1">
      <c r="A33" s="8" t="inlineStr">
        <is>
          <t>Блок «Не забудьте приобрести»</t>
        </is>
      </c>
      <c r="B33" s="8" t="inlineStr">
        <is>
          <t>ББП-20, OSNOVO, 8-портовый, Ippon 850, TL-SG2218P — не из таблицы ТЗ.</t>
        </is>
      </c>
    </row>
  </sheetData>
  <mergeCells count="10">
    <mergeCell ref="A20:B20"/>
    <mergeCell ref="A21:B21"/>
    <mergeCell ref="A2:B2"/>
    <mergeCell ref="A24:B24"/>
    <mergeCell ref="A26:B26"/>
    <mergeCell ref="A19:B19"/>
    <mergeCell ref="A1:B1"/>
    <mergeCell ref="A23:B23"/>
    <mergeCell ref="A18:B18"/>
    <mergeCell ref="A22:B22"/>
  </mergeCells>
  <pageMargins left="0.75" right="0.75" top="1" bottom="1" header="0.5" footer="0.5"/>
  <pageSetup orientation="landscape" paperSize="9" fitToHeight="1" fitToWidth="1"/>
  <headerFooter>
    <oddHeader>&amp;LРосатом / ОП Вербное — запрос КП</oddHeader>
    <oddFooter>&amp;RСтр.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8" customWidth="1" min="4" max="4"/>
    <col width="55" customWidth="1" min="5" max="5"/>
    <col width="32" customWidth="1" min="6" max="6"/>
    <col width="40" customWidth="1" min="7" max="7"/>
    <col width="18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2" customHeight="1">
      <c r="A1" s="3" t="inlineStr">
        <is>
          <t>№ ТЗ</t>
        </is>
      </c>
      <c r="B1" s="3" t="inlineStr">
        <is>
          <t>Наименование к запросу</t>
        </is>
      </c>
      <c r="C1" s="3" t="inlineStr">
        <is>
          <t>Кол-во</t>
        </is>
      </c>
      <c r="D1" s="3" t="inlineStr">
        <is>
          <t>Ед.</t>
        </is>
      </c>
      <c r="E1" s="3" t="inlineStr">
        <is>
          <t>Обязательные ТТХ</t>
        </is>
      </c>
      <c r="F1" s="3" t="inlineStr">
        <is>
          <t>Не предлагать</t>
        </is>
      </c>
      <c r="G1" s="3" t="inlineStr">
        <is>
          <t>Примечание для поставщика</t>
        </is>
      </c>
      <c r="H1" s="3" t="inlineStr">
        <is>
          <t>Артикул в КП</t>
        </is>
      </c>
      <c r="I1" s="3" t="inlineStr">
        <is>
          <t>Производитель</t>
        </is>
      </c>
      <c r="J1" s="3" t="inlineStr">
        <is>
          <t>Срок поставки, р.д.</t>
        </is>
      </c>
      <c r="K1" s="3" t="inlineStr">
        <is>
          <t>Цена с НДС, руб.</t>
        </is>
      </c>
      <c r="L1" s="3" t="inlineStr">
        <is>
          <t>Сумма с НДС, руб.</t>
        </is>
      </c>
      <c r="M1" s="3" t="inlineStr">
        <is>
          <t>Паспорт аналога (да/нет)</t>
        </is>
      </c>
    </row>
    <row r="2" ht="48" customHeight="1">
      <c r="A2" s="9" t="n">
        <v>1</v>
      </c>
      <c r="B2" s="9" t="inlineStr">
        <is>
          <t>Контроллер TRASSIR TR-C241B или аналог</t>
        </is>
      </c>
      <c r="C2" s="10" t="n">
        <v>1</v>
      </c>
      <c r="D2" s="9" t="inlineStr">
        <is>
          <t>шт</t>
        </is>
      </c>
      <c r="E2" s="9" t="inlineStr">
        <is>
          <t>2 двери, до 4 считывателей, ≥10 000 карт / ≥50 000 событий, Wiegand, TCP/IP, 2 реле, металлический корпус, не уже −20…+65 °C, 12 В</t>
        </is>
      </c>
      <c r="F2" s="9" t="inlineStr"/>
      <c r="G2" s="9" t="inlineStr">
        <is>
          <t>Подтвердить поставку в 25 р.д. (в старом КП — «конец августа»).</t>
        </is>
      </c>
      <c r="H2" s="11" t="inlineStr"/>
      <c r="I2" s="11" t="inlineStr"/>
      <c r="J2" s="11" t="inlineStr"/>
      <c r="K2" s="12" t="inlineStr"/>
      <c r="L2" s="12">
        <f>IF(AND(ISNUMBER(C2),ISNUMBER(K2)),C2*K2,"")</f>
        <v/>
      </c>
      <c r="M2" s="11" t="inlineStr"/>
    </row>
    <row r="3" ht="48" customHeight="1">
      <c r="A3" s="9" t="n">
        <v>2</v>
      </c>
      <c r="B3" s="9" t="inlineStr">
        <is>
          <t>Модуль ПО TRASSIR СКУД</t>
        </is>
      </c>
      <c r="C3" s="10" t="n">
        <v>1</v>
      </c>
      <c r="D3" s="9" t="inlineStr">
        <is>
          <t>шт</t>
        </is>
      </c>
      <c r="E3" s="9" t="inlineStr">
        <is>
          <t>Совместимость с п.1 и регистратором п.10. По ТЗ поставляется в составе регистратора</t>
        </is>
      </c>
      <c r="F3" s="9" t="inlineStr">
        <is>
          <t>Не двоить с лицензиями на 16 каналов NVR</t>
        </is>
      </c>
      <c r="G3" s="9" t="inlineStr">
        <is>
          <t>Если лицензия отдельным артикулом — одна строка.</t>
        </is>
      </c>
      <c r="H3" s="11" t="inlineStr"/>
      <c r="I3" s="11" t="inlineStr"/>
      <c r="J3" s="11" t="inlineStr"/>
      <c r="K3" s="12" t="inlineStr"/>
      <c r="L3" s="12">
        <f>IF(AND(ISNUMBER(C3),ISNUMBER(K3)),C3*K3,"")</f>
        <v/>
      </c>
      <c r="M3" s="11" t="inlineStr"/>
    </row>
    <row r="4" ht="48" customHeight="1">
      <c r="A4" s="13" t="n">
        <v>3</v>
      </c>
      <c r="B4" s="13" t="inlineStr">
        <is>
          <t>Считыватель Hikvision DS-K1107AM (аналог F-KD-4407PM i-FLOW)</t>
        </is>
      </c>
      <c r="C4" s="14" t="n">
        <v>2</v>
      </c>
      <c r="D4" s="13" t="inlineStr">
        <is>
          <t>шт</t>
        </is>
      </c>
      <c r="E4" s="13" t="inlineStr">
        <is>
          <t>Mifare 13,56 МГц; OSDP + RS-485 + Wiegand W26/W34; IP65; ≤2 Вт; дальность не хуже i-FLOW</t>
        </is>
      </c>
      <c r="F4" s="13" t="inlineStr">
        <is>
          <t>TR-R5M; не 4 шт.</t>
        </is>
      </c>
      <c r="G4" s="13" t="inlineStr">
        <is>
          <t>i-FLOW только если срок ≤25 р.д. Для DS-K1107AM верх t° +65 vs +70 ТЗ — указать отклонение.</t>
        </is>
      </c>
      <c r="H4" s="11" t="inlineStr"/>
      <c r="I4" s="11" t="inlineStr"/>
      <c r="J4" s="11" t="inlineStr"/>
      <c r="K4" s="12" t="inlineStr"/>
      <c r="L4" s="12">
        <f>IF(AND(ISNUMBER(C4),ISNUMBER(K4)),C4*K4,"")</f>
        <v/>
      </c>
      <c r="M4" s="11" t="inlineStr"/>
    </row>
    <row r="5" ht="48" customHeight="1">
      <c r="A5" s="13" t="n">
        <v>4</v>
      </c>
      <c r="B5" s="13" t="inlineStr">
        <is>
          <t>Турникет-трипод Hikvision DS-K3G411LX-R/Pg-Dm55 или DS-K3G411LX-R/Dm55 или DS-K3G501LX-R/Dm55</t>
        </is>
      </c>
      <c r="C5" s="14" t="n">
        <v>1</v>
      </c>
      <c r="D5" s="13" t="inlineStr">
        <is>
          <t>шт</t>
        </is>
      </c>
      <c r="E5" s="13" t="inlineStr">
        <is>
          <t>Проход ≥550 мм; ≥35 чел/мин; наработка ≥3 млн; автоантипаника; нерж. сталь; LED; не уже −20…+65 °C; БЕЗ встроенного контроллера и считывателя; вход тревоги для «Гранит-24»</t>
        </is>
      </c>
      <c r="F5" s="13" t="inlineStr">
        <is>
          <t>TR-TT552; TR-TP551; модификации со встроенным контроллером (без LX / с /M)</t>
        </is>
      </c>
      <c r="G5" s="13" t="inlineStr">
        <is>
          <t>Один турникет в сумме. Приоритет: модель из ТЗ при наличии, иначе DS-K3G501LX-R/Dm55.</t>
        </is>
      </c>
      <c r="H5" s="11" t="inlineStr"/>
      <c r="I5" s="11" t="inlineStr"/>
      <c r="J5" s="11" t="inlineStr"/>
      <c r="K5" s="12" t="inlineStr"/>
      <c r="L5" s="12">
        <f>IF(AND(ISNUMBER(C5),ISNUMBER(K5)),C5*K5,"")</f>
        <v/>
      </c>
      <c r="M5" s="11" t="inlineStr"/>
    </row>
    <row r="6" ht="48" customHeight="1">
      <c r="A6" s="9" t="n">
        <v>5</v>
      </c>
      <c r="B6" s="9" t="inlineStr">
        <is>
          <t>Поручень Praktika ВЗР 1996.05-02 или аналог</t>
        </is>
      </c>
      <c r="C6" s="10" t="n">
        <v>1</v>
      </c>
      <c r="D6" s="9" t="inlineStr">
        <is>
          <t>шт</t>
        </is>
      </c>
      <c r="E6" s="9" t="inlineStr">
        <is>
          <t>Две трубы, шлифованная нерж. сталь, D≥32 мм, длина ≥940 мм</t>
        </is>
      </c>
      <c r="F6" s="9" t="inlineStr"/>
      <c r="G6" s="9" t="inlineStr">
        <is>
          <t>Стыковка с выбранным турникетом.</t>
        </is>
      </c>
      <c r="H6" s="11" t="inlineStr"/>
      <c r="I6" s="11" t="inlineStr"/>
      <c r="J6" s="11" t="inlineStr"/>
      <c r="K6" s="12" t="inlineStr"/>
      <c r="L6" s="12">
        <f>IF(AND(ISNUMBER(C6),ISNUMBER(K6)),C6*K6,"")</f>
        <v/>
      </c>
      <c r="M6" s="11" t="inlineStr"/>
    </row>
    <row r="7" ht="48" customHeight="1">
      <c r="A7" s="9" t="n">
        <v>6</v>
      </c>
      <c r="B7" s="9" t="inlineStr">
        <is>
          <t>Стойка ограждения Praktika ВЗР 1996.01 или аналог</t>
        </is>
      </c>
      <c r="C7" s="10" t="n">
        <v>2</v>
      </c>
      <c r="D7" s="9" t="inlineStr">
        <is>
          <t>шт</t>
        </is>
      </c>
      <c r="E7" s="9" t="inlineStr">
        <is>
          <t>D≥50 мм, высота ≥1000 мм, 2 муфты, совместима с поручнем</t>
        </is>
      </c>
      <c r="F7" s="9" t="inlineStr"/>
      <c r="G7" s="9" t="inlineStr">
        <is>
          <t>Стыковка с поручнем и турникетом.</t>
        </is>
      </c>
      <c r="H7" s="11" t="inlineStr"/>
      <c r="I7" s="11" t="inlineStr"/>
      <c r="J7" s="11" t="inlineStr"/>
      <c r="K7" s="12" t="inlineStr"/>
      <c r="L7" s="12">
        <f>IF(AND(ISNUMBER(C7),ISNUMBER(K7)),C7*K7,"")</f>
        <v/>
      </c>
      <c r="M7" s="11" t="inlineStr"/>
    </row>
    <row r="8" ht="48" customHeight="1">
      <c r="A8" s="9" t="n">
        <v>7</v>
      </c>
      <c r="B8" s="9" t="inlineStr">
        <is>
          <t>Пульт ST-AC103RC или аналог</t>
        </is>
      </c>
      <c r="C8" s="10" t="n">
        <v>1</v>
      </c>
      <c r="D8" s="9" t="inlineStr">
        <is>
          <t>шт</t>
        </is>
      </c>
      <c r="E8" s="9" t="inlineStr">
        <is>
          <t>≥3 кнопки, НЗ/НР/ОБЩ или НР/ОБЩ, ≤3 А / ≤250 В</t>
        </is>
      </c>
      <c r="F8" s="9" t="inlineStr"/>
      <c r="G8" s="9" t="inlineStr"/>
      <c r="H8" s="11" t="inlineStr"/>
      <c r="I8" s="11" t="inlineStr"/>
      <c r="J8" s="11" t="inlineStr"/>
      <c r="K8" s="12" t="inlineStr"/>
      <c r="L8" s="12">
        <f>IF(AND(ISNUMBER(C8),ISNUMBER(K8)),C8*K8,"")</f>
        <v/>
      </c>
      <c r="M8" s="11" t="inlineStr"/>
    </row>
    <row r="9" ht="48" customHeight="1">
      <c r="A9" s="9" t="n">
        <v>8</v>
      </c>
      <c r="B9" s="9" t="inlineStr">
        <is>
          <t>БП PS-1230 (плата) Проксима или аналог</t>
        </is>
      </c>
      <c r="C9" s="10" t="n">
        <v>1</v>
      </c>
      <c r="D9" s="9" t="inlineStr">
        <is>
          <t>шт</t>
        </is>
      </c>
      <c r="E9" s="9" t="inlineStr">
        <is>
          <t>187…242 В → 13,5…14,2 В, Iном 2,8 А, плата без корпуса, под АКБ 12 В 7 А·ч</t>
        </is>
      </c>
      <c r="F9" s="9" t="inlineStr">
        <is>
          <t>Готовый ББП в корпусе без доказательства эквивалента</t>
        </is>
      </c>
      <c r="G9" s="9" t="inlineStr"/>
      <c r="H9" s="11" t="inlineStr"/>
      <c r="I9" s="11" t="inlineStr"/>
      <c r="J9" s="11" t="inlineStr"/>
      <c r="K9" s="12" t="inlineStr"/>
      <c r="L9" s="12">
        <f>IF(AND(ISNUMBER(C9),ISNUMBER(K9)),C9*K9,"")</f>
        <v/>
      </c>
      <c r="M9" s="11" t="inlineStr"/>
    </row>
    <row r="10" ht="48" customHeight="1">
      <c r="A10" s="9" t="n">
        <v>9</v>
      </c>
      <c r="B10" s="9" t="inlineStr">
        <is>
          <t>АКБ Delta DTM 1207 или аналог</t>
        </is>
      </c>
      <c r="C10" s="10" t="n">
        <v>1</v>
      </c>
      <c r="D10" s="9" t="inlineStr">
        <is>
          <t>шт</t>
        </is>
      </c>
      <c r="E10" s="9" t="inlineStr">
        <is>
          <t>12 В / 7 А·ч, AGM, клеммы F2, срок службы ≥6 лет</t>
        </is>
      </c>
      <c r="F10" s="9" t="inlineStr"/>
      <c r="G10" s="9" t="inlineStr"/>
      <c r="H10" s="11" t="inlineStr"/>
      <c r="I10" s="11" t="inlineStr"/>
      <c r="J10" s="11" t="inlineStr"/>
      <c r="K10" s="12" t="inlineStr"/>
      <c r="L10" s="12">
        <f>IF(AND(ISNUMBER(C10),ISNUMBER(K10)),C10*K10,"")</f>
        <v/>
      </c>
      <c r="M10" s="11" t="inlineStr"/>
    </row>
    <row r="11" ht="48" customHeight="1">
      <c r="A11" s="13" t="n">
        <v>10</v>
      </c>
      <c r="B11" s="13" t="inlineStr">
        <is>
          <t>Регистратор TRASSIR MiniNVR 4216R AnyIP или аналог</t>
        </is>
      </c>
      <c r="C11" s="14" t="n">
        <v>1</v>
      </c>
      <c r="D11" s="13" t="inlineStr">
        <is>
          <t>шт</t>
        </is>
      </c>
      <c r="E11" s="13" t="inlineStr">
        <is>
          <t>≥16 кан.; до 12 Мп; H.265+/H.265/H.264; ≥2 выхода HDMI/VGA; 2×SATA под HDD ≥18 ТБ; аудио 1/1; ≥2 USB; размер ≤400×350×60 мм; 19"; лицензии 16 каналов; модуль СКУД; t° ТЗ не уже −10…+55 °C</t>
        </is>
      </c>
      <c r="F11" s="13" t="inlineStr">
        <is>
          <t>Регистратор без лицензий на каналы</t>
        </is>
      </c>
      <c r="G11" s="13" t="inlineStr">
        <is>
          <t>У MiniNVR в каталоге +10…+30 °C. Либо аналог с −10…+55, либо письменное отклонение.</t>
        </is>
      </c>
      <c r="H11" s="11" t="inlineStr"/>
      <c r="I11" s="11" t="inlineStr"/>
      <c r="J11" s="11" t="inlineStr"/>
      <c r="K11" s="12" t="inlineStr"/>
      <c r="L11" s="12">
        <f>IF(AND(ISNUMBER(C11),ISNUMBER(K11)),C11*K11,"")</f>
        <v/>
      </c>
      <c r="M11" s="11" t="inlineStr"/>
    </row>
    <row r="12" ht="48" customHeight="1">
      <c r="A12" s="13" t="n">
        <v>11</v>
      </c>
      <c r="B12" s="13" t="inlineStr">
        <is>
          <t>Камера TR-D8151IR3 v7 (D) 2.8 или аналог</t>
        </is>
      </c>
      <c r="C12" s="14" t="n">
        <v>7</v>
      </c>
      <c r="D12" s="13" t="inlineStr">
        <is>
          <t>шт</t>
        </is>
      </c>
      <c r="E12" s="13" t="inlineStr">
        <is>
          <t>5 Мп; 2,8 мм; ИК ≥30 м; IP66; −30…+50 °C; PoE; ≤9 Вт; ≤0,6 кг; ≤110×100 мм; аналитика (человек, линия, область)</t>
        </is>
      </c>
      <c r="F12" s="13" t="inlineStr">
        <is>
          <t>Модель только «приход конец сентября» без склада</t>
        </is>
      </c>
      <c r="G12" s="13" t="inlineStr">
        <is>
          <t>Поставка в горизонте 25 р.д. или складской аналог с теми же ТТХ.</t>
        </is>
      </c>
      <c r="H12" s="11" t="inlineStr"/>
      <c r="I12" s="11" t="inlineStr"/>
      <c r="J12" s="11" t="inlineStr"/>
      <c r="K12" s="12" t="inlineStr"/>
      <c r="L12" s="12">
        <f>IF(AND(ISNUMBER(C12),ISNUMBER(K12)),C12*K12,"")</f>
        <v/>
      </c>
      <c r="M12" s="11" t="inlineStr"/>
    </row>
    <row r="13" ht="48" customHeight="1">
      <c r="A13" s="9" t="n">
        <v>12</v>
      </c>
      <c r="B13" s="9" t="inlineStr">
        <is>
          <t>Монтажная коробка TR-JB306 или аналог</t>
        </is>
      </c>
      <c r="C13" s="10" t="n">
        <v>7</v>
      </c>
      <c r="D13" s="9" t="inlineStr">
        <is>
          <t>шт</t>
        </is>
      </c>
      <c r="E13" s="9" t="inlineStr">
        <is>
          <t>Совместима с камерами п.11</t>
        </is>
      </c>
      <c r="F13" s="9" t="inlineStr"/>
      <c r="G13" s="9" t="inlineStr">
        <is>
          <t>Именно 7 шт., не 1.</t>
        </is>
      </c>
      <c r="H13" s="11" t="inlineStr"/>
      <c r="I13" s="11" t="inlineStr"/>
      <c r="J13" s="11" t="inlineStr"/>
      <c r="K13" s="12" t="inlineStr"/>
      <c r="L13" s="12">
        <f>IF(AND(ISNUMBER(C13),ISNUMBER(K13)),C13*K13,"")</f>
        <v/>
      </c>
      <c r="M13" s="11" t="inlineStr"/>
    </row>
    <row r="14" ht="48" customHeight="1">
      <c r="A14" s="9" t="n">
        <v>13</v>
      </c>
      <c r="B14" s="9" t="inlineStr">
        <is>
          <t>Коммутатор TR-NS11191S-285-16PoE или аналог</t>
        </is>
      </c>
      <c r="C14" s="10" t="n">
        <v>1</v>
      </c>
      <c r="D14" s="9" t="inlineStr">
        <is>
          <t>шт</t>
        </is>
      </c>
      <c r="E14" s="9" t="inlineStr">
        <is>
          <t>≥16 PoE 802.3af; бюджет ≥270 Вт; CCTV ≥250 м; Watchdog/PD-Alive; размер ≤450×200×50 мм; 19"</t>
        </is>
      </c>
      <c r="F14" s="9" t="inlineStr">
        <is>
          <t>8-портовый PoE; TL-SG2218P «вдобавок»</t>
        </is>
      </c>
      <c r="G14" s="9" t="inlineStr"/>
      <c r="H14" s="11" t="inlineStr"/>
      <c r="I14" s="11" t="inlineStr"/>
      <c r="J14" s="11" t="inlineStr"/>
      <c r="K14" s="12" t="inlineStr"/>
      <c r="L14" s="12">
        <f>IF(AND(ISNUMBER(C14),ISNUMBER(K14)),C14*K14,"")</f>
        <v/>
      </c>
      <c r="M14" s="11" t="inlineStr"/>
    </row>
    <row r="15" ht="48" customHeight="1">
      <c r="A15" s="9" t="n">
        <v>14</v>
      </c>
      <c r="B15" s="9" t="inlineStr">
        <is>
          <t>HDD WD85PURZ 8 ТБ или аналог</t>
        </is>
      </c>
      <c r="C15" s="10" t="n">
        <v>2</v>
      </c>
      <c r="D15" s="9" t="inlineStr">
        <is>
          <t>шт</t>
        </is>
      </c>
      <c r="E15" s="9" t="inlineStr">
        <is>
          <t>SATA-III; 8 ТБ; 256 МБ; 3,5"; ≥5640 об/мин; нагрузка ≥170 ТБ/год; для видеонаблюдения</t>
        </is>
      </c>
      <c r="F15" s="9" t="inlineStr">
        <is>
          <t>Диски 4 ТБ</t>
        </is>
      </c>
      <c r="G15" s="9" t="inlineStr"/>
      <c r="H15" s="11" t="inlineStr"/>
      <c r="I15" s="11" t="inlineStr"/>
      <c r="J15" s="11" t="inlineStr"/>
      <c r="K15" s="12" t="inlineStr"/>
      <c r="L15" s="12">
        <f>IF(AND(ISNUMBER(C15),ISNUMBER(K15)),C15*K15,"")</f>
        <v/>
      </c>
      <c r="M15" s="11" t="inlineStr"/>
    </row>
    <row r="16" ht="48" customHeight="1">
      <c r="A16" s="15" t="n">
        <v>15</v>
      </c>
      <c r="B16" s="15" t="inlineStr">
        <is>
          <t>Монитор Dahua DHI-LM27-C301B или аналог</t>
        </is>
      </c>
      <c r="C16" s="16" t="n">
        <v>1</v>
      </c>
      <c r="D16" s="15" t="inlineStr">
        <is>
          <t>шт</t>
        </is>
      </c>
      <c r="E16" s="15" t="inlineStr">
        <is>
          <t>≥27"; IPS или OLED; ≥2560×1440; 16:9; ≥100 Гц; ≥300 кд/м²; VESA; DisplayPort + HDMI</t>
        </is>
      </c>
      <c r="F16" s="15" t="inlineStr">
        <is>
          <t>Full HD / только VGA+HDMI без QHD и DP</t>
        </is>
      </c>
      <c r="G16" s="15" t="inlineStr">
        <is>
          <t>В ДП-00079850 позиции не было.</t>
        </is>
      </c>
      <c r="H16" s="11" t="inlineStr"/>
      <c r="I16" s="11" t="inlineStr"/>
      <c r="J16" s="11" t="inlineStr"/>
      <c r="K16" s="12" t="inlineStr"/>
      <c r="L16" s="12">
        <f>IF(AND(ISNUMBER(C16),ISNUMBER(K16)),C16*K16,"")</f>
        <v/>
      </c>
      <c r="M16" s="11" t="inlineStr"/>
    </row>
    <row r="17" ht="48" customHeight="1">
      <c r="A17" s="15" t="n">
        <v>16</v>
      </c>
      <c r="B17" s="15" t="inlineStr">
        <is>
          <t>Кабель HDMI ≥ 5 м</t>
        </is>
      </c>
      <c r="C17" s="16" t="n">
        <v>1</v>
      </c>
      <c r="D17" s="15" t="inlineStr">
        <is>
          <t>шт</t>
        </is>
      </c>
      <c r="E17" s="15" t="inlineStr">
        <is>
          <t>Связь регистратора и монитора; складская позиция</t>
        </is>
      </c>
      <c r="F17" s="15" t="inlineStr">
        <is>
          <t>Rexant 17-6206 с приходом 06.10</t>
        </is>
      </c>
      <c r="G17" s="15" t="inlineStr"/>
      <c r="H17" s="11" t="inlineStr"/>
      <c r="I17" s="11" t="inlineStr"/>
      <c r="J17" s="11" t="inlineStr"/>
      <c r="K17" s="12" t="inlineStr"/>
      <c r="L17" s="12">
        <f>IF(AND(ISNUMBER(C17),ISNUMBER(K17)),C17*K17,"")</f>
        <v/>
      </c>
      <c r="M17" s="11" t="inlineStr"/>
    </row>
    <row r="18" ht="48" customHeight="1">
      <c r="A18" s="9" t="n">
        <v>17</v>
      </c>
      <c r="B18" s="9" t="inlineStr">
        <is>
          <t>Шкаф Cabeus SH-05F-15U60/60-R или аналог</t>
        </is>
      </c>
      <c r="C18" s="10" t="n">
        <v>1</v>
      </c>
      <c r="D18" s="9" t="inlineStr">
        <is>
          <t>шт</t>
        </is>
      </c>
      <c r="E18" s="9" t="inlineStr">
        <is>
          <t>Настенный 19"; ≥15U; 600×600; высота ≥769 мм; полезная глубина ≥540 мм; стекло; замок; ≥50 кг</t>
        </is>
      </c>
      <c r="F18" s="9" t="inlineStr">
        <is>
          <t>Уличный ЦМО 18U IP54</t>
        </is>
      </c>
      <c r="G18" s="9" t="inlineStr"/>
      <c r="H18" s="11" t="inlineStr"/>
      <c r="I18" s="11" t="inlineStr"/>
      <c r="J18" s="11" t="inlineStr"/>
      <c r="K18" s="12" t="inlineStr"/>
      <c r="L18" s="12">
        <f>IF(AND(ISNUMBER(C18),ISNUMBER(K18)),C18*K18,"")</f>
        <v/>
      </c>
      <c r="M18" s="11" t="inlineStr"/>
    </row>
    <row r="19" ht="48" customHeight="1">
      <c r="A19" s="9" t="n">
        <v>18</v>
      </c>
      <c r="B19" s="9" t="inlineStr">
        <is>
          <t>Вентилятор Cabeus XD12038A2 или аналог</t>
        </is>
      </c>
      <c r="C19" s="10" t="n">
        <v>2</v>
      </c>
      <c r="D19" s="9" t="inlineStr">
        <is>
          <t>шт</t>
        </is>
      </c>
      <c r="E19" s="9" t="inlineStr">
        <is>
          <t>Под посадочные места шкафа п.17</t>
        </is>
      </c>
      <c r="F19" s="9" t="inlineStr"/>
      <c r="G19" s="9" t="inlineStr"/>
      <c r="H19" s="11" t="inlineStr"/>
      <c r="I19" s="11" t="inlineStr"/>
      <c r="J19" s="11" t="inlineStr"/>
      <c r="K19" s="12" t="inlineStr"/>
      <c r="L19" s="12">
        <f>IF(AND(ISNUMBER(C19),ISNUMBER(K19)),C19*K19,"")</f>
        <v/>
      </c>
      <c r="M19" s="11" t="inlineStr"/>
    </row>
    <row r="20" ht="48" customHeight="1">
      <c r="A20" s="9" t="n">
        <v>19</v>
      </c>
      <c r="B20" s="9" t="inlineStr">
        <is>
          <t>Термостат Cabeus KTS011 или аналог</t>
        </is>
      </c>
      <c r="C20" s="10" t="n">
        <v>1</v>
      </c>
      <c r="D20" s="9" t="inlineStr">
        <is>
          <t>шт</t>
        </is>
      </c>
      <c r="E20" s="9" t="inlineStr">
        <is>
          <t>NO; 0…+60 °C; DIN; ≥IP20</t>
        </is>
      </c>
      <c r="F20" s="9" t="inlineStr"/>
      <c r="G20" s="9" t="inlineStr"/>
      <c r="H20" s="11" t="inlineStr"/>
      <c r="I20" s="11" t="inlineStr"/>
      <c r="J20" s="11" t="inlineStr"/>
      <c r="K20" s="12" t="inlineStr"/>
      <c r="L20" s="12">
        <f>IF(AND(ISNUMBER(C20),ISNUMBER(K20)),C20*K20,"")</f>
        <v/>
      </c>
      <c r="M20" s="11" t="inlineStr"/>
    </row>
    <row r="21" ht="48" customHeight="1">
      <c r="A21" s="9" t="n">
        <v>20</v>
      </c>
      <c r="B21" s="9" t="inlineStr">
        <is>
          <t>Щеточный ввод Cabeus JD04B или аналог</t>
        </is>
      </c>
      <c r="C21" s="10" t="n">
        <v>2</v>
      </c>
      <c r="D21" s="9" t="inlineStr">
        <is>
          <t>шт</t>
        </is>
      </c>
      <c r="E21" s="9" t="inlineStr">
        <is>
          <t>Совместим со шкафом п.17</t>
        </is>
      </c>
      <c r="F21" s="9" t="inlineStr"/>
      <c r="G21" s="9" t="inlineStr"/>
      <c r="H21" s="11" t="inlineStr"/>
      <c r="I21" s="11" t="inlineStr"/>
      <c r="J21" s="11" t="inlineStr"/>
      <c r="K21" s="12" t="inlineStr"/>
      <c r="L21" s="12">
        <f>IF(AND(ISNUMBER(C21),ISNUMBER(K21)),C21*K21,"")</f>
        <v/>
      </c>
      <c r="M21" s="11" t="inlineStr"/>
    </row>
    <row r="22" ht="48" customHeight="1">
      <c r="A22" s="9" t="n">
        <v>21</v>
      </c>
      <c r="B22" s="9" t="inlineStr">
        <is>
          <t>Полка Cabeus SH-J018-FC-600m или аналог</t>
        </is>
      </c>
      <c r="C22" s="10" t="n">
        <v>1</v>
      </c>
      <c r="D22" s="9" t="inlineStr">
        <is>
          <t>шт</t>
        </is>
      </c>
      <c r="E22" s="9" t="inlineStr">
        <is>
          <t>19"; 4 точки; перфорация; ≥45 кг; для шкафа глубиной 600 мм</t>
        </is>
      </c>
      <c r="F22" s="9" t="inlineStr"/>
      <c r="G22" s="9" t="inlineStr"/>
      <c r="H22" s="11" t="inlineStr"/>
      <c r="I22" s="11" t="inlineStr"/>
      <c r="J22" s="11" t="inlineStr"/>
      <c r="K22" s="12" t="inlineStr"/>
      <c r="L22" s="12">
        <f>IF(AND(ISNUMBER(C22),ISNUMBER(K22)),C22*K22,"")</f>
        <v/>
      </c>
      <c r="M22" s="11" t="inlineStr"/>
    </row>
    <row r="23" ht="48" customHeight="1">
      <c r="A23" s="9" t="n">
        <v>22</v>
      </c>
      <c r="B23" s="9" t="inlineStr">
        <is>
          <t>Направляющие Cabeus JH05-06-100KG или аналог</t>
        </is>
      </c>
      <c r="C23" s="10" t="n">
        <v>1</v>
      </c>
      <c r="D23" s="9" t="inlineStr">
        <is>
          <t>компл.</t>
        </is>
      </c>
      <c r="E23" s="9" t="inlineStr">
        <is>
          <t>Глубина 600 мм; пара; до 100 кг</t>
        </is>
      </c>
      <c r="F23" s="9" t="inlineStr"/>
      <c r="G23" s="9" t="inlineStr"/>
      <c r="H23" s="11" t="inlineStr"/>
      <c r="I23" s="11" t="inlineStr"/>
      <c r="J23" s="11" t="inlineStr"/>
      <c r="K23" s="12" t="inlineStr"/>
      <c r="L23" s="12">
        <f>IF(AND(ISNUMBER(C23),ISNUMBER(K23)),C23*K23,"")</f>
        <v/>
      </c>
      <c r="M23" s="11" t="inlineStr"/>
    </row>
    <row r="24" ht="48" customHeight="1">
      <c r="A24" s="9" t="n">
        <v>23</v>
      </c>
      <c r="B24" s="9" t="inlineStr">
        <is>
          <t>PDU Cabeus PDU-8P-2EU или аналог</t>
        </is>
      </c>
      <c r="C24" s="10" t="n">
        <v>1</v>
      </c>
      <c r="D24" s="9" t="inlineStr">
        <is>
          <t>шт</t>
        </is>
      </c>
      <c r="E24" s="9" t="inlineStr">
        <is>
          <t>1U; ≥8 евророзеток; ≥16 А; выключатель; шнур ≥2 м; вилка Schuko</t>
        </is>
      </c>
      <c r="F24" s="9" t="inlineStr"/>
      <c r="G24" s="9" t="inlineStr"/>
      <c r="H24" s="11" t="inlineStr"/>
      <c r="I24" s="11" t="inlineStr"/>
      <c r="J24" s="11" t="inlineStr"/>
      <c r="K24" s="12" t="inlineStr"/>
      <c r="L24" s="12">
        <f>IF(AND(ISNUMBER(C24),ISNUMBER(K24)),C24*K24,"")</f>
        <v/>
      </c>
      <c r="M24" s="11" t="inlineStr"/>
    </row>
    <row r="25" ht="48" customHeight="1">
      <c r="A25" s="9" t="n">
        <v>24</v>
      </c>
      <c r="B25" s="9" t="inlineStr">
        <is>
          <t>PDU Cabeus PDU-8P-2IEC или аналог</t>
        </is>
      </c>
      <c r="C25" s="10" t="n">
        <v>1</v>
      </c>
      <c r="D25" s="9" t="inlineStr">
        <is>
          <t>шт</t>
        </is>
      </c>
      <c r="E25" s="9" t="inlineStr">
        <is>
          <t>1U; ≥8 EURO; ≥10 А; выключатель; шнур ≥2 м; вилка IEC 320 C14</t>
        </is>
      </c>
      <c r="F25" s="9" t="inlineStr"/>
      <c r="G25" s="9" t="inlineStr"/>
      <c r="H25" s="11" t="inlineStr"/>
      <c r="I25" s="11" t="inlineStr"/>
      <c r="J25" s="11" t="inlineStr"/>
      <c r="K25" s="12" t="inlineStr"/>
      <c r="L25" s="12">
        <f>IF(AND(ISNUMBER(C25),ISNUMBER(K25)),C25*K25,"")</f>
        <v/>
      </c>
      <c r="M25" s="11" t="inlineStr"/>
    </row>
    <row r="26" ht="48" customHeight="1">
      <c r="A26" s="13" t="n">
        <v>25</v>
      </c>
      <c r="B26" s="13" t="inlineStr">
        <is>
          <t>ИБП Powercom KIN-3000AP LCD арт. 1152615 или аналог</t>
        </is>
      </c>
      <c r="C26" s="14" t="n">
        <v>1</v>
      </c>
      <c r="D26" s="13" t="inlineStr">
        <is>
          <t>шт</t>
        </is>
      </c>
      <c r="E26" s="13" t="inlineStr">
        <is>
          <t>Модифицированная синусоида; ≥3000 ВА / 2400 Вт; ≥4×12 В 9 А·ч; RJ-45; USB; RS-232; SNMP; ≤8×IEC C13; LCD; 19"; 0…+40 °C</t>
        </is>
      </c>
      <c r="F26" s="13" t="inlineStr">
        <is>
          <t>Формулировка «1800 Вт»; ИБП 850 ВА</t>
        </is>
      </c>
      <c r="G26" s="13" t="inlineStr">
        <is>
          <t>В наименовании КП писать 3000 ВА / 2400 Вт.</t>
        </is>
      </c>
      <c r="H26" s="11" t="inlineStr"/>
      <c r="I26" s="11" t="inlineStr"/>
      <c r="J26" s="11" t="inlineStr"/>
      <c r="K26" s="12" t="inlineStr"/>
      <c r="L26" s="12">
        <f>IF(AND(ISNUMBER(C26),ISNUMBER(K26)),C26*K26,"")</f>
        <v/>
      </c>
      <c r="M26" s="11" t="inlineStr"/>
    </row>
    <row r="27" ht="48" customHeight="1">
      <c r="A27" s="15" t="n">
        <v>26</v>
      </c>
      <c r="B27" s="15" t="inlineStr">
        <is>
          <t>Роутер Keenetic Explorer 4G (KN-4910) или аналог</t>
        </is>
      </c>
      <c r="C27" s="16" t="n">
        <v>1</v>
      </c>
      <c r="D27" s="15" t="inlineStr">
        <is>
          <t>шт</t>
        </is>
      </c>
      <c r="E27" s="15" t="inlineStr">
        <is>
          <t>Встроенный LTE/4G/3G; SIM любого оператора; ≥4 Ethernet; разъём под выносную уличную LTE-антенну; IPoE/PPPoE/PPTP/L2TP/802.1x; VPN PPTP и L2TP/IPsec клиент/сервер</t>
        </is>
      </c>
      <c r="F27" s="15" t="inlineStr">
        <is>
          <t>Роутер без LTE-модема</t>
        </is>
      </c>
      <c r="G27" s="15" t="inlineStr">
        <is>
          <t>В ДП-00079850 позиции не было. В ТЗ опечатка «Exporer».</t>
        </is>
      </c>
      <c r="H27" s="11" t="inlineStr"/>
      <c r="I27" s="11" t="inlineStr"/>
      <c r="J27" s="11" t="inlineStr"/>
      <c r="K27" s="12" t="inlineStr"/>
      <c r="L27" s="12">
        <f>IF(AND(ISNUMBER(C27),ISNUMBER(K27)),C27*K27,"")</f>
        <v/>
      </c>
      <c r="M27" s="11" t="inlineStr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inlineStr">
        <is>
          <t>Итого оборудование</t>
        </is>
      </c>
      <c r="K28" s="17" t="n"/>
      <c r="L28" s="18">
        <f>SUM(L2:L27)</f>
        <v/>
      </c>
      <c r="M28" s="17" t="n"/>
    </row>
    <row r="30" ht="28" customHeight="1">
      <c r="A30" s="19" t="inlineStr">
        <is>
          <t>Цвет строки: зелёный — модель из ТЗ можно переносить; оранжевый — заменить/оговорить; голубой — в старом КП не было или нужна новая закупка.</t>
        </is>
      </c>
    </row>
  </sheetData>
  <autoFilter ref="A1:M27"/>
  <mergeCells count="1">
    <mergeCell ref="A30:G30"/>
  </mergeCells>
  <pageMargins left="0.75" right="0.75" top="1" bottom="1" header="0.5" footer="0.5"/>
  <pageSetup orientation="landscape" paperSize="9" fitToHeight="0" fitToWidth="1"/>
  <headerFooter>
    <oddHeader>&amp;LА. Оборудование — запрос КП, ОП Вербное</oddHeader>
    <oddFooter>&amp;RСтр.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0" customWidth="1" min="3" max="3"/>
    <col width="22" customWidth="1" min="4" max="4"/>
    <col width="55" customWidth="1" min="5" max="5"/>
    <col width="16" customWidth="1" min="6" max="6"/>
    <col width="16" customWidth="1" min="7" max="7"/>
    <col width="24" customWidth="1" min="8" max="8"/>
  </cols>
  <sheetData>
    <row r="1">
      <c r="A1" s="3" t="inlineStr">
        <is>
          <t>№</t>
        </is>
      </c>
      <c r="B1" s="3" t="inlineStr">
        <is>
          <t>Наименование</t>
        </is>
      </c>
      <c r="C1" s="3" t="inlineStr">
        <is>
          <t>Ед.</t>
        </is>
      </c>
      <c r="D1" s="3" t="inlineStr">
        <is>
          <t>Кол-во (заполняет поставщик по схеме)</t>
        </is>
      </c>
      <c r="E1" s="3" t="inlineStr">
        <is>
          <t>Условие ТЗ</t>
        </is>
      </c>
      <c r="F1" s="3" t="inlineStr">
        <is>
          <t>Цена с НДС, руб.</t>
        </is>
      </c>
      <c r="G1" s="3" t="inlineStr">
        <is>
          <t>Сумма с НДС, руб.</t>
        </is>
      </c>
      <c r="H1" s="3" t="inlineStr">
        <is>
          <t>Комментарий</t>
        </is>
      </c>
    </row>
    <row r="2" ht="36" customHeight="1">
      <c r="A2" s="20" t="inlineStr">
        <is>
          <t>М1</t>
        </is>
      </c>
      <c r="B2" s="20" t="inlineStr">
        <is>
          <t>Кабель UTP Cat 5e или Cat 6 внутренний</t>
        </is>
      </c>
      <c r="C2" s="20" t="inlineStr">
        <is>
          <t>м</t>
        </is>
      </c>
      <c r="D2" s="20" t="inlineStr"/>
      <c r="E2" s="20" t="inlineStr">
        <is>
          <t>По схеме прил. № 2 и обмеру. К камерам, турникету, считывателям, в шкаф.</t>
        </is>
      </c>
      <c r="F2" s="21" t="inlineStr"/>
      <c r="G2" s="21">
        <f>IF(AND(ISNUMBER(D2),ISNUMBER(F2)),D2*F2,"")</f>
        <v/>
      </c>
      <c r="H2" s="20" t="inlineStr"/>
    </row>
    <row r="3" ht="36" customHeight="1">
      <c r="A3" s="20" t="inlineStr">
        <is>
          <t>М2</t>
        </is>
      </c>
      <c r="B3" s="20" t="inlineStr">
        <is>
          <t>Кабель UTP наружный / PE (если трасса по фасаду или улице)</t>
        </is>
      </c>
      <c r="C3" s="20" t="inlineStr">
        <is>
          <t>м</t>
        </is>
      </c>
      <c r="D3" s="20" t="inlineStr"/>
      <c r="E3" s="20" t="inlineStr">
        <is>
          <t>7 камер «территории офисного здания» — уточнить по схеме.</t>
        </is>
      </c>
      <c r="F3" s="21" t="inlineStr"/>
      <c r="G3" s="21">
        <f>IF(AND(ISNUMBER(D3),ISNUMBER(F3)),D3*F3,"")</f>
        <v/>
      </c>
      <c r="H3" s="20" t="inlineStr"/>
    </row>
    <row r="4" ht="36" customHeight="1">
      <c r="A4" s="20" t="inlineStr">
        <is>
          <t>М3</t>
        </is>
      </c>
      <c r="B4" s="20" t="inlineStr">
        <is>
          <t>Лоток металлический по коридору, крышка, подвесы</t>
        </is>
      </c>
      <c r="C4" s="20" t="inlineStr">
        <is>
          <t>м</t>
        </is>
      </c>
      <c r="D4" s="20" t="inlineStr"/>
      <c r="E4" s="20" t="inlineStr">
        <is>
          <t>Прямо указано в подразделе 3.1 ТЗ.</t>
        </is>
      </c>
      <c r="F4" s="21" t="inlineStr"/>
      <c r="G4" s="21">
        <f>IF(AND(ISNUMBER(D4),ISNUMBER(F4)),D4*F4,"")</f>
        <v/>
      </c>
      <c r="H4" s="20" t="inlineStr"/>
    </row>
    <row r="5" ht="36" customHeight="1">
      <c r="A5" s="20" t="inlineStr">
        <is>
          <t>М4</t>
        </is>
      </c>
      <c r="B5" s="20" t="inlineStr">
        <is>
          <t>Гофра и/или кабель-канал внутри помещений</t>
        </is>
      </c>
      <c r="C5" s="20" t="inlineStr">
        <is>
          <t>м</t>
        </is>
      </c>
      <c r="D5" s="20" t="inlineStr"/>
      <c r="E5" s="20" t="inlineStr">
        <is>
          <t>Крепление к стенам и конструкциям.</t>
        </is>
      </c>
      <c r="F5" s="21" t="inlineStr"/>
      <c r="G5" s="21">
        <f>IF(AND(ISNUMBER(D5),ISNUMBER(F5)),D5*F5,"")</f>
        <v/>
      </c>
      <c r="H5" s="20" t="inlineStr"/>
    </row>
    <row r="6" ht="36" customHeight="1">
      <c r="A6" s="20" t="inlineStr">
        <is>
          <t>М5</t>
        </is>
      </c>
      <c r="B6" s="20" t="inlineStr">
        <is>
          <t>Защитные кабель-каналы к турникету и считывателям</t>
        </is>
      </c>
      <c r="C6" s="20" t="inlineStr">
        <is>
          <t>м</t>
        </is>
      </c>
      <c r="D6" s="20" t="inlineStr"/>
      <c r="E6" s="20" t="inlineStr">
        <is>
          <t>Исключить повреждение в эксплуатации.</t>
        </is>
      </c>
      <c r="F6" s="21" t="inlineStr"/>
      <c r="G6" s="21">
        <f>IF(AND(ISNUMBER(D6),ISNUMBER(F6)),D6*F6,"")</f>
        <v/>
      </c>
      <c r="H6" s="20" t="inlineStr"/>
    </row>
    <row r="7" ht="36" customHeight="1">
      <c r="A7" s="20" t="inlineStr">
        <is>
          <t>М6</t>
        </is>
      </c>
      <c r="B7" s="20" t="inlineStr">
        <is>
          <t>Крепёж, анкера, стяжки, монтажные коробки, автоматы, герметик, патч-корды</t>
        </is>
      </c>
      <c r="C7" s="20" t="inlineStr">
        <is>
          <t>компл.</t>
        </is>
      </c>
      <c r="D7" s="20" t="inlineStr"/>
      <c r="E7" s="20" t="inlineStr">
        <is>
          <t>Подраздел 2.3: включая, но не ограничиваясь.</t>
        </is>
      </c>
      <c r="F7" s="21" t="inlineStr"/>
      <c r="G7" s="21">
        <f>IF(AND(ISNUMBER(D7),ISNUMBER(F7)),D7*F7,"")</f>
        <v/>
      </c>
      <c r="H7" s="20" t="inlineStr"/>
    </row>
    <row r="8" ht="36" customHeight="1">
      <c r="A8" s="20" t="inlineStr">
        <is>
          <t>М7</t>
        </is>
      </c>
      <c r="B8" s="20" t="inlineStr">
        <is>
          <t>SFP / PoE-удлинители / сплиттеры — только при необходимости трассы</t>
        </is>
      </c>
      <c r="C8" s="20" t="inlineStr">
        <is>
          <t>шт</t>
        </is>
      </c>
      <c r="D8" s="20" t="inlineStr"/>
      <c r="E8" s="20" t="inlineStr">
        <is>
          <t>С обоснованием. Не upsell.</t>
        </is>
      </c>
      <c r="F8" s="21" t="inlineStr"/>
      <c r="G8" s="21">
        <f>IF(AND(ISNUMBER(D8),ISNUMBER(F8)),D8*F8,"")</f>
        <v/>
      </c>
      <c r="H8" s="20" t="inlineStr"/>
    </row>
    <row r="9">
      <c r="A9" s="17" t="n"/>
      <c r="B9" s="17" t="n"/>
      <c r="C9" s="17" t="n"/>
      <c r="D9" s="17" t="n"/>
      <c r="E9" s="17" t="inlineStr">
        <is>
          <t>Итого материалы</t>
        </is>
      </c>
      <c r="F9" s="17" t="n"/>
      <c r="G9" s="18">
        <f>SUM(G2:G8)</f>
        <v/>
      </c>
      <c r="H9" s="17" t="n"/>
    </row>
    <row r="11" ht="32" customHeight="1">
      <c r="A11" s="19" t="inlineStr">
        <is>
          <t>Количество кабеля и лотков в ТЗ не фиксировано («по проекту»). Поставщик заполняет по приложению № 2 и обмеру. Нельзя прятать трассы внутри цены оборудования.</t>
        </is>
      </c>
    </row>
  </sheetData>
  <mergeCells count="1">
    <mergeCell ref="A11:G11"/>
  </mergeCells>
  <pageMargins left="0.75" right="0.75" top="1" bottom="1" header="0.5" footer="0.5"/>
  <pageSetup orientation="landscape" paperSize="9" fitToWidth="1"/>
  <headerFooter>
    <oddHeader>&amp;LБ. Материалы трасс — запрос КП, ОП Вербное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0" customWidth="1" min="4" max="4"/>
    <col width="70" customWidth="1" min="5" max="5"/>
    <col width="16" customWidth="1" min="6" max="6"/>
    <col width="16" customWidth="1" min="7" max="7"/>
    <col width="14" customWidth="1" min="8" max="8"/>
  </cols>
  <sheetData>
    <row r="1">
      <c r="A1" s="3" t="inlineStr">
        <is>
          <t>№</t>
        </is>
      </c>
      <c r="B1" s="3" t="inlineStr">
        <is>
          <t>Наименование работы</t>
        </is>
      </c>
      <c r="C1" s="3" t="inlineStr">
        <is>
          <t>Ед.</t>
        </is>
      </c>
      <c r="D1" s="3" t="inlineStr">
        <is>
          <t>Кол-во</t>
        </is>
      </c>
      <c r="E1" s="3" t="inlineStr">
        <is>
          <t>Состав / условие ТЗ</t>
        </is>
      </c>
      <c r="F1" s="3" t="inlineStr">
        <is>
          <t>Цена с НДС, руб.</t>
        </is>
      </c>
      <c r="G1" s="3" t="inlineStr">
        <is>
          <t>Сумма с НДС, руб.</t>
        </is>
      </c>
      <c r="H1" s="3" t="inlineStr">
        <is>
          <t>Срок, р.д.</t>
        </is>
      </c>
    </row>
    <row r="2" ht="36" customHeight="1">
      <c r="A2" s="20" t="inlineStr">
        <is>
          <t>Р1</t>
        </is>
      </c>
      <c r="B2" s="20" t="inlineStr">
        <is>
          <t>Доставка и разгрузка на объект</t>
        </is>
      </c>
      <c r="C2" s="20" t="inlineStr">
        <is>
          <t>рейс</t>
        </is>
      </c>
      <c r="D2" s="20" t="n">
        <v>1</v>
      </c>
      <c r="E2" s="20" t="inlineStr">
        <is>
          <t>Морозовск, ул. Ленина, 159. Силами и средствами подрядчика.</t>
        </is>
      </c>
      <c r="F2" s="21" t="inlineStr"/>
      <c r="G2" s="21">
        <f>IF(AND(ISNUMBER(D2),ISNUMBER(F2)),D2*F2,"")</f>
        <v/>
      </c>
      <c r="H2" s="20" t="inlineStr"/>
    </row>
    <row r="3" ht="36" customHeight="1">
      <c r="A3" s="20" t="inlineStr">
        <is>
          <t>Р2</t>
        </is>
      </c>
      <c r="B3" s="20" t="inlineStr">
        <is>
          <t>Подготовка к старту</t>
        </is>
      </c>
      <c r="C3" s="20" t="inlineStr">
        <is>
          <t>компл.</t>
        </is>
      </c>
      <c r="D3" s="20" t="n">
        <v>1</v>
      </c>
      <c r="E3" s="20" t="inlineStr">
        <is>
          <t>За ≥2 р.д.: список персонала, график, схема кабельных трасс.</t>
        </is>
      </c>
      <c r="F3" s="21" t="inlineStr"/>
      <c r="G3" s="21">
        <f>IF(AND(ISNUMBER(D3),ISNUMBER(F3)),D3*F3,"")</f>
        <v/>
      </c>
      <c r="H3" s="20" t="inlineStr"/>
    </row>
    <row r="4" ht="36" customHeight="1">
      <c r="A4" s="20" t="inlineStr">
        <is>
          <t>Р3</t>
        </is>
      </c>
      <c r="B4" s="20" t="inlineStr">
        <is>
          <t>Монтаж шкафа 15U и оборудования АРМ</t>
        </is>
      </c>
      <c r="C4" s="20" t="inlineStr">
        <is>
          <t>компл.</t>
        </is>
      </c>
      <c r="D4" s="20" t="n">
        <v>1</v>
      </c>
      <c r="E4" s="20" t="inlineStr">
        <is>
          <t>Шкаф, вентиляторы, PDU, ИБП, регистратор, коммутатор, роутер, монитор.</t>
        </is>
      </c>
      <c r="F4" s="21" t="inlineStr"/>
      <c r="G4" s="21">
        <f>IF(AND(ISNUMBER(D4),ISNUMBER(F4)),D4*F4,"")</f>
        <v/>
      </c>
      <c r="H4" s="20" t="inlineStr"/>
    </row>
    <row r="5" ht="36" customHeight="1">
      <c r="A5" s="20" t="inlineStr">
        <is>
          <t>Р4</t>
        </is>
      </c>
      <c r="B5" s="20" t="inlineStr">
        <is>
          <t>Монтаж IP-камер с юстировкой</t>
        </is>
      </c>
      <c r="C5" s="20" t="inlineStr">
        <is>
          <t>шт</t>
        </is>
      </c>
      <c r="D5" s="20" t="n">
        <v>7</v>
      </c>
      <c r="E5" s="20" t="inlineStr">
        <is>
          <t>По схеме. Юстировка под непосредственным контролем представителя заказчика.</t>
        </is>
      </c>
      <c r="F5" s="21" t="inlineStr"/>
      <c r="G5" s="21">
        <f>IF(AND(ISNUMBER(D5),ISNUMBER(F5)),D5*F5,"")</f>
        <v/>
      </c>
      <c r="H5" s="20" t="inlineStr"/>
    </row>
    <row r="6" ht="36" customHeight="1">
      <c r="A6" s="20" t="inlineStr">
        <is>
          <t>Р5</t>
        </is>
      </c>
      <c r="B6" s="20" t="inlineStr">
        <is>
          <t>Монтаж СКУД</t>
        </is>
      </c>
      <c r="C6" s="20" t="inlineStr">
        <is>
          <t>компл.</t>
        </is>
      </c>
      <c r="D6" s="20" t="n">
        <v>1</v>
      </c>
      <c r="E6" s="20" t="inlineStr">
        <is>
          <t>Турникет, поручень, стойки, считыватели, пульт, БП/АКБ.</t>
        </is>
      </c>
      <c r="F6" s="21" t="inlineStr"/>
      <c r="G6" s="21">
        <f>IF(AND(ISNUMBER(D6),ISNUMBER(F6)),D6*F6,"")</f>
        <v/>
      </c>
      <c r="H6" s="20" t="inlineStr"/>
    </row>
    <row r="7" ht="36" customHeight="1">
      <c r="A7" s="20" t="inlineStr">
        <is>
          <t>Р6</t>
        </is>
      </c>
      <c r="B7" s="20" t="inlineStr">
        <is>
          <t>Прокладка трасс</t>
        </is>
      </c>
      <c r="C7" s="20" t="inlineStr">
        <is>
          <t>компл.</t>
        </is>
      </c>
      <c r="D7" s="20" t="n">
        <v>1</v>
      </c>
      <c r="E7" s="20" t="inlineStr">
        <is>
          <t>Лоток по коридору, гофра/канал, маркировка, кабельный журнал.</t>
        </is>
      </c>
      <c r="F7" s="21" t="inlineStr"/>
      <c r="G7" s="21">
        <f>IF(AND(ISNUMBER(D7),ISNUMBER(F7)),D7*F7,"")</f>
        <v/>
      </c>
      <c r="H7" s="20" t="inlineStr"/>
    </row>
    <row r="8" ht="36" customHeight="1">
      <c r="A8" s="20" t="inlineStr">
        <is>
          <t>Р7</t>
        </is>
      </c>
      <c r="B8" s="20" t="inlineStr">
        <is>
          <t>ПНР СКУД и СВН, предварительные испытания</t>
        </is>
      </c>
      <c r="C8" s="20" t="inlineStr">
        <is>
          <t>компл.</t>
        </is>
      </c>
      <c r="D8" s="20" t="n">
        <v>1</v>
      </c>
      <c r="E8" s="20" t="inlineStr">
        <is>
          <t>На площадке — ноутбук с интернетом для удалённой приёмки заказчиком.</t>
        </is>
      </c>
      <c r="F8" s="21" t="inlineStr"/>
      <c r="G8" s="21">
        <f>IF(AND(ISNUMBER(D8),ISNUMBER(F8)),D8*F8,"")</f>
        <v/>
      </c>
      <c r="H8" s="20" t="inlineStr"/>
    </row>
    <row r="9" ht="36" customHeight="1">
      <c r="A9" s="20" t="inlineStr">
        <is>
          <t>Р8</t>
        </is>
      </c>
      <c r="B9" s="20" t="inlineStr">
        <is>
          <t>Интеграция разблокировки турникета с ПС «Гранит-24»</t>
        </is>
      </c>
      <c r="C9" s="20" t="inlineStr">
        <is>
          <t>шт</t>
        </is>
      </c>
      <c r="D9" s="20" t="n">
        <v>1</v>
      </c>
      <c r="E9" s="20" t="inlineStr">
        <is>
          <t>Сухой контакт / вход тревоги турникета.</t>
        </is>
      </c>
      <c r="F9" s="21" t="inlineStr"/>
      <c r="G9" s="21">
        <f>IF(AND(ISNUMBER(D9),ISNUMBER(F9)),D9*F9,"")</f>
        <v/>
      </c>
      <c r="H9" s="20" t="inlineStr"/>
    </row>
    <row r="10" ht="36" customHeight="1">
      <c r="A10" s="20" t="inlineStr">
        <is>
          <t>Р9</t>
        </is>
      </c>
      <c r="B10" s="20" t="inlineStr">
        <is>
          <t>Инструктаж персонала заказчика</t>
        </is>
      </c>
      <c r="C10" s="20" t="inlineStr">
        <is>
          <t>чел.</t>
        </is>
      </c>
      <c r="D10" s="20" t="n">
        <v>2</v>
      </c>
      <c r="E10" s="20" t="inlineStr">
        <is>
          <t>Входит в срок 25 р.д.</t>
        </is>
      </c>
      <c r="F10" s="21" t="inlineStr"/>
      <c r="G10" s="21">
        <f>IF(AND(ISNUMBER(D10),ISNUMBER(F10)),D10*F10,"")</f>
        <v/>
      </c>
      <c r="H10" s="20" t="inlineStr"/>
    </row>
    <row r="11" ht="36" customHeight="1">
      <c r="A11" s="20" t="inlineStr">
        <is>
          <t>Р10</t>
        </is>
      </c>
      <c r="B11" s="20" t="inlineStr">
        <is>
          <t>Исполнительная документация</t>
        </is>
      </c>
      <c r="C11" s="20" t="inlineStr">
        <is>
          <t>компл.</t>
        </is>
      </c>
      <c r="D11" s="20" t="n">
        <v>1</v>
      </c>
      <c r="E11" s="20" t="inlineStr">
        <is>
          <t>3 экз. бумага + электронный комплект (PDF сканы и исходники). Приказ Минстроя № 344/пр.</t>
        </is>
      </c>
      <c r="F11" s="21" t="inlineStr"/>
      <c r="G11" s="21">
        <f>IF(AND(ISNUMBER(D11),ISNUMBER(F11)),D11*F11,"")</f>
        <v/>
      </c>
      <c r="H11" s="20" t="inlineStr"/>
    </row>
    <row r="12" ht="36" customHeight="1">
      <c r="A12" s="20" t="inlineStr">
        <is>
          <t>Р11</t>
        </is>
      </c>
      <c r="B12" s="20" t="inlineStr">
        <is>
          <t>Уборка после работ</t>
        </is>
      </c>
      <c r="C12" s="20" t="inlineStr">
        <is>
          <t>компл.</t>
        </is>
      </c>
      <c r="D12" s="20" t="n">
        <v>1</v>
      </c>
      <c r="E12" s="20" t="inlineStr">
        <is>
          <t>В течение 3 р.д. после окончания.</t>
        </is>
      </c>
      <c r="F12" s="21" t="inlineStr"/>
      <c r="G12" s="21">
        <f>IF(AND(ISNUMBER(D12),ISNUMBER(F12)),D12*F12,"")</f>
        <v/>
      </c>
      <c r="H12" s="20" t="inlineStr"/>
    </row>
    <row r="13" ht="36" customHeight="1">
      <c r="A13" s="20" t="inlineStr">
        <is>
          <t>Р12</t>
        </is>
      </c>
      <c r="B13" s="20" t="inlineStr">
        <is>
          <t>Гарантийные обязательства</t>
        </is>
      </c>
      <c r="C13" s="20" t="inlineStr">
        <is>
          <t>компл.</t>
        </is>
      </c>
      <c r="D13" s="20" t="n">
        <v>1</v>
      </c>
      <c r="E13" s="20" t="inlineStr">
        <is>
          <t>≥12 месяцев с акта на работы и оборудование.</t>
        </is>
      </c>
      <c r="F13" s="21" t="inlineStr"/>
      <c r="G13" s="21">
        <f>IF(AND(ISNUMBER(D13),ISNUMBER(F13)),D13*F13,"")</f>
        <v/>
      </c>
      <c r="H13" s="20" t="inlineStr"/>
    </row>
    <row r="14">
      <c r="A14" s="17" t="n"/>
      <c r="B14" s="17" t="n"/>
      <c r="C14" s="17" t="n"/>
      <c r="D14" s="17" t="n"/>
      <c r="E14" s="17" t="inlineStr">
        <is>
          <t>Итого работы</t>
        </is>
      </c>
      <c r="F14" s="17" t="n"/>
      <c r="G14" s="18">
        <f>SUM(G2:G13)</f>
        <v/>
      </c>
      <c r="H14" s="17" t="n"/>
    </row>
  </sheetData>
  <pageMargins left="0.75" right="0.75" top="1" bottom="1" header="0.5" footer="0.5"/>
  <pageSetup orientation="landscape" paperSize="9" fitToWidth="1"/>
  <headerFooter>
    <oddHeader>&amp;LВ. Работы — запрос КП, ОП Вербное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  <col width="20" customWidth="1" min="3" max="3"/>
  </cols>
  <sheetData>
    <row r="1">
      <c r="A1" s="1" t="inlineStr">
        <is>
          <t>Сводка коммерческого предложения (заполняет поставщик)</t>
        </is>
      </c>
    </row>
    <row r="3">
      <c r="A3" s="3" t="inlineStr">
        <is>
          <t>Показатель</t>
        </is>
      </c>
      <c r="B3" s="3" t="inlineStr">
        <is>
          <t>Значение</t>
        </is>
      </c>
    </row>
    <row r="4">
      <c r="A4" s="22" t="inlineStr">
        <is>
          <t>Поставщик / ИНН</t>
        </is>
      </c>
      <c r="B4" s="5" t="inlineStr"/>
    </row>
    <row r="5">
      <c r="A5" s="22" t="inlineStr">
        <is>
          <t>Номер и дата КП</t>
        </is>
      </c>
      <c r="B5" s="5" t="inlineStr"/>
    </row>
    <row r="6">
      <c r="A6" s="22" t="inlineStr">
        <is>
          <t>Заказчик</t>
        </is>
      </c>
      <c r="B6" s="5" t="inlineStr">
        <is>
          <t>АО «Росатом Возобновляемая энергия»</t>
        </is>
      </c>
    </row>
    <row r="7">
      <c r="A7" s="22" t="inlineStr">
        <is>
          <t>Объект</t>
        </is>
      </c>
      <c r="B7" s="5" t="inlineStr">
        <is>
          <t>ОП Вербное, г. Морозовск, ул. Ленина, д. 159</t>
        </is>
      </c>
    </row>
    <row r="8">
      <c r="A8" s="22" t="inlineStr">
        <is>
          <t>Срок действия КП</t>
        </is>
      </c>
      <c r="B8" s="5" t="inlineStr"/>
    </row>
    <row r="9">
      <c r="A9" s="22" t="inlineStr">
        <is>
          <t>Итого оборудование с НДС, руб.</t>
        </is>
      </c>
      <c r="B9" s="23">
        <f>'А. Оборудование'!L28</f>
        <v/>
      </c>
    </row>
    <row r="10">
      <c r="A10" s="22" t="inlineStr">
        <is>
          <t>Итого материалы с НДС, руб.</t>
        </is>
      </c>
      <c r="B10" s="23">
        <f>'Б. Материалы трасс'!G9</f>
        <v/>
      </c>
    </row>
    <row r="11">
      <c r="A11" s="22" t="inlineStr">
        <is>
          <t>Итого работы с НДС, руб.</t>
        </is>
      </c>
      <c r="B11" s="23">
        <f>'В. Работы'!G14</f>
        <v/>
      </c>
    </row>
    <row r="12" ht="22" customHeight="1">
      <c r="A12" s="17" t="inlineStr">
        <is>
          <t>ВСЕГО с НДС, руб.</t>
        </is>
      </c>
      <c r="B12" s="24">
        <f>B9+B10+B11</f>
        <v/>
      </c>
    </row>
    <row r="13">
      <c r="A13" s="22" t="inlineStr">
        <is>
          <t>в т.ч. НДС, руб.</t>
        </is>
      </c>
      <c r="B13" s="5" t="inlineStr"/>
    </row>
    <row r="14">
      <c r="A14" s="22" t="inlineStr">
        <is>
          <t>Срок выполнения «под ключ», раб. дн.</t>
        </is>
      </c>
      <c r="B14" s="5" t="inlineStr">
        <is>
          <t>25</t>
        </is>
      </c>
    </row>
    <row r="15">
      <c r="A15" s="22" t="inlineStr">
        <is>
          <t>Гарантия, мес.</t>
        </is>
      </c>
      <c r="B15" s="5" t="inlineStr">
        <is>
          <t>12</t>
        </is>
      </c>
    </row>
    <row r="16">
      <c r="A16" s="22" t="inlineStr">
        <is>
          <t>График оплаты</t>
        </is>
      </c>
      <c r="B16" s="5" t="inlineStr"/>
    </row>
    <row r="19">
      <c r="A19" s="2" t="inlineStr">
        <is>
          <t>Обязательные приложения к КП</t>
        </is>
      </c>
    </row>
    <row r="20" ht="20" customHeight="1">
      <c r="A20" s="19" t="inlineStr">
        <is>
          <t>1. Спецификация с артикулами и сроком каждой строки</t>
        </is>
      </c>
    </row>
    <row r="21" ht="20" customHeight="1">
      <c r="A21" s="19" t="inlineStr">
        <is>
          <t>2. Паспорт турникета (550 мм / 35 чел/мин / 3 млн / антипаника / вход ПС)</t>
        </is>
      </c>
    </row>
    <row r="22" ht="20" customHeight="1">
      <c r="A22" s="19" t="inlineStr">
        <is>
          <t>3. Паспорт считывателя (OSDP+RS-485+Wiegand, IP65)</t>
        </is>
      </c>
    </row>
    <row r="23" ht="20" customHeight="1">
      <c r="A23" s="19" t="inlineStr">
        <is>
          <t>4. Подтверждение ИБП 3000 ВА / 2400 Вт (артикул 1152615)</t>
        </is>
      </c>
    </row>
    <row r="24" ht="20" customHeight="1">
      <c r="A24" s="19" t="inlineStr">
        <is>
          <t>5. При отклонении MiniNVR по температуре — паспорт аналога или письмо-отклонение</t>
        </is>
      </c>
    </row>
    <row r="25" ht="20" customHeight="1">
      <c r="A25" s="19" t="inlineStr">
        <is>
          <t>6. График: поставка → монтаж → ПНР внутри 25 р.д.</t>
        </is>
      </c>
    </row>
  </sheetData>
  <mergeCells count="7">
    <mergeCell ref="A20:B20"/>
    <mergeCell ref="A21:B21"/>
    <mergeCell ref="A24:B24"/>
    <mergeCell ref="A1:C1"/>
    <mergeCell ref="A25:B25"/>
    <mergeCell ref="A23:B23"/>
    <mergeCell ref="A22:B22"/>
  </mergeCells>
  <pageMargins left="0.75" right="0.75" top="1" bottom="1" header="0.5" footer="0.5"/>
  <pageSetup orientation="portrait" fitToWidth="1"/>
  <headerFooter>
    <oddHeader>&amp;LГ. Итог КП — ОП Вербное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2026-08-18T10:42:31Z</dcterms:created>
  <dcterms:modified xsi:type="dcterms:W3CDTF">2026-08-18T10:42:31Z</dcterms:modified>
</cp:coreProperties>
</file>